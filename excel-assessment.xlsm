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b16d339eb2d9efc/Desktop/"/>
    </mc:Choice>
  </mc:AlternateContent>
  <xr:revisionPtr revIDLastSave="90" documentId="14_{44107B00-C3AC-4ACB-98C6-D7E379F590DB}" xr6:coauthVersionLast="47" xr6:coauthVersionMax="47" xr10:uidLastSave="{9F3DE331-49AC-402C-913D-A4E93BB101DA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C15" i="19" a="1"/>
  <c r="C15" i="19"/>
  <c r="C19" i="19" a="1"/>
  <c r="C19" i="19" s="1"/>
  <c r="C21" i="19" a="1"/>
  <c r="C21" i="19" s="1"/>
  <c r="C5" i="15"/>
  <c r="H41" i="1"/>
  <c r="C13" i="19" a="1"/>
  <c r="C13" i="19" s="1"/>
  <c r="F30" i="18"/>
  <c r="F29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30" i="18"/>
  <c r="E29" i="18"/>
  <c r="E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30" i="18"/>
  <c r="D29" i="18"/>
  <c r="D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30" i="18"/>
  <c r="C29" i="18"/>
  <c r="C28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30" i="18"/>
  <c r="B29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<sst xmlns="http://schemas.openxmlformats.org/spreadsheetml/2006/main" count="407" uniqueCount="184">
  <si>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</si>
  <si>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</si>
  <si>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</si>
  <si>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</si>
  <si>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</si>
  <si>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</si>
  <si>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</si>
  <si>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</si>
  <si>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</si>
  <si>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</si>
  <si>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</si>
  <si>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</si>
  <si>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</si>
  <si>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</si>
  <si>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</si>
  <si>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</si>
  <si>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</si>
  <si>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</si>
  <si>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</si>
  <si>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</si>
  <si>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</si>
  <si>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</si>
  <si>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</si>
  <si>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</si>
  <si>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</si>
  <si>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</si>
  <si>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</si>
  <si>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</si>
  <si>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</si>
  <si>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</si>
  <si>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</si>
  <si>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</si>
  <si>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</si>
  <si>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</si>
  <si>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</si>
  <si>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</si>
  <si>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</si>
  <si>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</si>
  <si>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</si>
  <si>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</si>
  <si>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</si>
  <si>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</si>
  <si>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</si>
  <si>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</si>
  <si>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</si>
  <si>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</si>
  <si>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</si>
  <si>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</si>
  <si>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</si>
  <si>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</si>
  <si>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</si>
  <si>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</si>
  <si>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</si>
  <si>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</si>
  <si>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</si>
  <si>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</si>
  <si>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</si>
  <si>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</si>
  <si>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</si>
  <si>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</si>
  <si>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</si>
  <si>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</si>
  <si>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</si>
  <si>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</si>
  <si>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</si>
  <si>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</si>
  <si>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</si>
  <si>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</si>
  <si>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</si>
  <si>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</si>
  <si>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</si>
  <si>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</si>
  <si>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</si>
  <si>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</si>
  <si>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</si>
  <si>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</si>
  <si>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</si>
  <si>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</si>
  <si>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</si>
  <si>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</si>
  <si>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</si>
  <si>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</si>
  <si>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</si>
  <si>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</si>
  <si>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</si>
  <si>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</si>
  <si>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</si>
  <si>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</si>
  <si>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</si>
  <si>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</si>
  <si>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</si>
  <si>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</si>
  <si>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</si>
  <si>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</si>
  <si>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</si>
  <si>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</si>
  <si>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</si>
  <si>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</si>
  <si>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</si>
  <si>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</si>
  <si>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</si>
  <si>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</si>
  <si>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</si>
  <si>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</si>
  <si>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</si>
  <si>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</si>
  <si>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</si>
  <si>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</si>
  <si>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</si>
  <si>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</si>
  <si>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</si>
  <si>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</si>
  <si>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</si>
  <si>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</si>
  <si>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</si>
  <si>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</si>
  <si>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</si>
  <si>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</si>
  <si>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</si>
  <si>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</si>
  <si>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</si>
  <si>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</si>
  <si>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</si>
  <si>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</si>
  <si>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</si>
  <si>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</si>
  <si>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</si>
  <si>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</si>
  <si>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</si>
  <si>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</si>
  <si>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</si>
  <si>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</si>
  <si>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</si>
  <si>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</si>
  <si>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</si>
  <si>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</si>
  <si>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</si>
  <si>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</si>
  <si>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</si>
  <si>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</si>
  <si>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</si>
  <si>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</si>
  <si>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</si>
  <si>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</si>
  <si>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</si>
  <si>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</si>
  <si>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</si>
  <si>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</si>
  <si>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</si>
  <si>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</si>
  <si>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</si>
  <si>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</si>
  <si>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</si>
  <si>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</si>
  <si>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</si>
  <si>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</si>
  <si>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</si>
  <si>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</si>
  <si>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</si>
  <si>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</si>
  <si>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</si>
  <si>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</si>
  <si>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</si>
  <si>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</si>
  <si>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</si>
  <si>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</si>
  <si>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</si>
  <si>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</si>
  <si>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</si>
  <si>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</si>
  <si>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</si>
  <si>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</si>
  <si>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</si>
  <si>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</si>
  <si>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</si>
  <si>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</si>
  <si>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</si>
  <si>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</t>
  </si>
  <si>
    <t xml:space="preserve">I HAVE USED TEXT TO COLUMN FUNTION </t>
  </si>
  <si>
    <t>I USED THE ABOVE FUNCTION BECAUSE IT SAVE TIME AND DO THE OPERATION MORE EASILY</t>
  </si>
  <si>
    <t xml:space="preserve">IFERROR FUNCTIONALITY IS USED </t>
  </si>
  <si>
    <t>1. IT CHECKS EACH CELL IF THERES ANY ERROR</t>
  </si>
  <si>
    <t>2. IF AN ERROR IS FOUND IT IT REPLACES WITH THE SPECFIC VALUE EX. IN THIS CASE (20)</t>
  </si>
  <si>
    <t>1.INDEX  2. VLOOKUP 3.MATCH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</si>
</sst>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5" borderId="7" xfId="0" applyFont="1" applyFill="1" applyBorder="1"/>
    <xf numFmtId="0" fontId="3" fillId="5" borderId="1" xfId="0" applyFont="1" applyFill="1" applyBorder="1"/>
    <xf numFmtId="0" fontId="3" fillId="6" borderId="0" xfId="0" applyFont="1" applyFill="1"/>
    <xf numFmtId="0" fontId="7" fillId="6" borderId="0" xfId="0" applyFont="1" applyFill="1"/>
    <xf numFmtId="166" fontId="3" fillId="6" borderId="0" xfId="0" applyNumberFormat="1" applyFont="1" applyFill="1"/>
    <xf numFmtId="0" fontId="19" fillId="5" borderId="0" xfId="0" applyFont="1" applyFill="1"/>
    <xf numFmtId="0" fontId="18" fillId="5" borderId="0" xfId="0" applyFont="1" applyFill="1"/>
    <xf numFmtId="0" fontId="18" fillId="6" borderId="0" xfId="0" applyFont="1" applyFill="1"/>
    <xf numFmtId="0" fontId="20" fillId="6" borderId="0" xfId="0" applyFont="1" applyFill="1"/>
    <xf numFmtId="0" fontId="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pane ySplit="1" topLeftCell="A2" activePane="bottomLeft" state="frozen"/>
      <selection pane="bottomLeft" activeCell="H42" sqref="H4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G41" s="45" t="s">
        <v>177</v>
      </c>
      <c r="H41" s="45">
        <f>SUMIF(Dataset!H2:H40,"&gt;20")</f>
        <v>1473.0000000000002</v>
      </c>
    </row>
  </sheetData>
  <conditionalFormatting sqref="G1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VLOOKUP(Task_2!A6,Dataset!$A$2:$X$40,7,FALSE)</f>
        <v>2.7</v>
      </c>
      <c r="C6" s="12">
        <f>VLOOKUP(A6,Dataset!$A$2:$X$40,14,FALSE)</f>
        <v>7.6</v>
      </c>
      <c r="D6" s="12">
        <f>VLOOKUP(A6,Dataset!$A$2:$X$40,18,FALSE)</f>
        <v>4.2</v>
      </c>
      <c r="E6" s="12">
        <f>VLOOKUP(A6,Dataset!$A$2:$X$40,20,FALSE)</f>
        <v>8.9</v>
      </c>
      <c r="F6" s="8">
        <f>VLOOKUP(A6,Dataset!$A$2:$X$40,22,FALSE)</f>
        <v>4.2</v>
      </c>
    </row>
    <row r="7" spans="1:7" ht="14.4" x14ac:dyDescent="0.3">
      <c r="A7" s="7" t="s">
        <v>4</v>
      </c>
      <c r="B7" s="12">
        <f>VLOOKUP(Task_2!A7,Dataset!$A$2:$X$40,7,FALSE)</f>
        <v>2.7</v>
      </c>
      <c r="C7" s="12">
        <f>VLOOKUP(A7,Dataset!$A$2:$X$40,14,FALSE)</f>
        <v>7.6</v>
      </c>
      <c r="D7" s="12">
        <f>VLOOKUP(A7,Dataset!$A$2:$X$40,18,FALSE)</f>
        <v>4.2</v>
      </c>
      <c r="E7" s="12">
        <f>VLOOKUP(A7,Dataset!$A$2:$X$40,20,FALSE)</f>
        <v>8.9</v>
      </c>
      <c r="F7" s="8">
        <f>VLOOKUP(A7,Dataset!$A$2:$X$40,22,FALSE)</f>
        <v>4.2</v>
      </c>
    </row>
    <row r="8" spans="1:7" ht="14.4" x14ac:dyDescent="0.3">
      <c r="A8" s="7" t="s">
        <v>7</v>
      </c>
      <c r="B8" s="12">
        <f>VLOOKUP(Task_2!A8,Dataset!$A$2:$X$40,7,FALSE)</f>
        <v>3.6</v>
      </c>
      <c r="C8" s="12">
        <f>VLOOKUP(A8,Dataset!$A$2:$X$40,14,FALSE)</f>
        <v>11.1</v>
      </c>
      <c r="D8" s="12">
        <f>VLOOKUP(A8,Dataset!$A$2:$X$40,18,FALSE)</f>
        <v>5.8</v>
      </c>
      <c r="E8" s="12">
        <f>VLOOKUP(A8,Dataset!$A$2:$X$40,20,FALSE)</f>
        <v>12.2</v>
      </c>
      <c r="F8" s="8">
        <f>VLOOKUP(A8,Dataset!$A$2:$X$40,22,FALSE)</f>
        <v>5.8</v>
      </c>
    </row>
    <row r="9" spans="1:7" ht="14.4" x14ac:dyDescent="0.3">
      <c r="A9" s="7" t="s">
        <v>8</v>
      </c>
      <c r="B9" s="12">
        <f>VLOOKUP(Task_2!A9,Dataset!$A$2:$X$40,7,FALSE)</f>
        <v>4.9000000000000004</v>
      </c>
      <c r="C9" s="12">
        <f>VLOOKUP(A9,Dataset!$A$2:$X$40,14,FALSE)</f>
        <v>13.3</v>
      </c>
      <c r="D9" s="12">
        <f>VLOOKUP(A9,Dataset!$A$2:$X$40,18,FALSE)</f>
        <v>8.1</v>
      </c>
      <c r="E9" s="12">
        <f>VLOOKUP(A9,Dataset!$A$2:$X$40,20,FALSE)</f>
        <v>17</v>
      </c>
      <c r="F9" s="8">
        <f>VLOOKUP(A9,Dataset!$A$2:$X$40,22,FALSE)</f>
        <v>8.1</v>
      </c>
    </row>
    <row r="10" spans="1:7" ht="14.4" x14ac:dyDescent="0.3">
      <c r="A10" s="7" t="s">
        <v>11</v>
      </c>
      <c r="B10" s="12">
        <f>VLOOKUP(Task_2!A10,Dataset!$A$2:$X$40,7,FALSE)</f>
        <v>9.4</v>
      </c>
      <c r="C10" s="12">
        <f>VLOOKUP(A10,Dataset!$A$2:$X$40,14,FALSE)</f>
        <v>28.3</v>
      </c>
      <c r="D10" s="12">
        <f>VLOOKUP(A10,Dataset!$A$2:$X$40,18,FALSE)</f>
        <v>16.100000000000001</v>
      </c>
      <c r="E10" s="12">
        <f>VLOOKUP(A10,Dataset!$A$2:$X$40,20,FALSE)</f>
        <v>32.799999999999997</v>
      </c>
      <c r="F10" s="8">
        <f>VLOOKUP(A10,Dataset!$A$2:$X$40,22,FALSE)</f>
        <v>16.100000000000001</v>
      </c>
    </row>
    <row r="11" spans="1:7" ht="14.4" x14ac:dyDescent="0.3">
      <c r="A11" s="7" t="s">
        <v>12</v>
      </c>
      <c r="B11" s="12">
        <f>VLOOKUP(Task_2!A11,Dataset!$A$2:$X$40,7,FALSE)</f>
        <v>11.6</v>
      </c>
      <c r="C11" s="12">
        <f>VLOOKUP(A11,Dataset!$A$2:$X$40,14,FALSE)</f>
        <v>35.200000000000003</v>
      </c>
      <c r="D11" s="12">
        <f>VLOOKUP(A11,Dataset!$A$2:$X$40,18,FALSE)</f>
        <v>21.3</v>
      </c>
      <c r="E11" s="12">
        <f>VLOOKUP(A11,Dataset!$A$2:$X$40,20,FALSE)</f>
        <v>43</v>
      </c>
      <c r="F11" s="8">
        <f>VLOOKUP(A11,Dataset!$A$2:$X$40,22,FALSE)</f>
        <v>21.3</v>
      </c>
    </row>
    <row r="12" spans="1:7" ht="14.4" x14ac:dyDescent="0.3">
      <c r="A12" s="7" t="s">
        <v>14</v>
      </c>
      <c r="B12" s="12">
        <f>VLOOKUP(Task_2!A12,Dataset!$A$2:$X$40,7,FALSE)</f>
        <v>18.399999999999999</v>
      </c>
      <c r="C12" s="12">
        <f>VLOOKUP(A12,Dataset!$A$2:$X$40,14,FALSE)</f>
        <v>55.6</v>
      </c>
      <c r="D12" s="12">
        <f>VLOOKUP(A12,Dataset!$A$2:$X$40,18,FALSE)</f>
        <v>33.799999999999997</v>
      </c>
      <c r="E12" s="12">
        <f>VLOOKUP(A12,Dataset!$A$2:$X$40,20,FALSE)</f>
        <v>67.900000000000006</v>
      </c>
      <c r="F12" s="8">
        <f>VLOOKUP(A12,Dataset!$A$2:$X$40,22,FALSE)</f>
        <v>33.799999999999997</v>
      </c>
    </row>
    <row r="13" spans="1:7" ht="14.4" x14ac:dyDescent="0.3">
      <c r="A13" s="7" t="s">
        <v>15</v>
      </c>
      <c r="B13" s="12">
        <f>VLOOKUP(Task_2!A13,Dataset!$A$2:$X$40,7,FALSE)</f>
        <v>0</v>
      </c>
      <c r="C13" s="12">
        <f>VLOOKUP(A13,Dataset!$A$2:$X$40,14,FALSE)</f>
        <v>0</v>
      </c>
      <c r="D13" s="12">
        <f>VLOOKUP(A13,Dataset!$A$2:$X$40,18,FALSE)</f>
        <v>0</v>
      </c>
      <c r="E13" s="12">
        <f>VLOOKUP(A13,Dataset!$A$2:$X$40,20,FALSE)</f>
        <v>0</v>
      </c>
      <c r="F13" s="8">
        <f>VLOOKUP(A13,Dataset!$A$2:$X$40,22,FALSE)</f>
        <v>0</v>
      </c>
    </row>
    <row r="14" spans="1:7" ht="14.4" x14ac:dyDescent="0.3">
      <c r="A14" s="7" t="s">
        <v>16</v>
      </c>
      <c r="B14" s="12">
        <f>VLOOKUP(Task_2!A14,Dataset!$A$2:$X$40,7,FALSE)</f>
        <v>21.9</v>
      </c>
      <c r="C14" s="12">
        <f>VLOOKUP(A14,Dataset!$A$2:$X$40,14,FALSE)</f>
        <v>61.5</v>
      </c>
      <c r="D14" s="12">
        <f>VLOOKUP(A14,Dataset!$A$2:$X$40,18,FALSE)</f>
        <v>40.1</v>
      </c>
      <c r="E14" s="12">
        <f>VLOOKUP(A14,Dataset!$A$2:$X$40,20,FALSE)</f>
        <v>76.599999999999994</v>
      </c>
      <c r="F14" s="8">
        <f>VLOOKUP(A14,Dataset!$A$2:$X$40,22,FALSE)</f>
        <v>40.1</v>
      </c>
    </row>
    <row r="15" spans="1:7" ht="14.4" x14ac:dyDescent="0.3">
      <c r="A15" s="7" t="s">
        <v>18</v>
      </c>
      <c r="B15" s="12">
        <f>VLOOKUP(Task_2!A15,Dataset!$A$2:$X$40,7,FALSE)</f>
        <v>26.8</v>
      </c>
      <c r="C15" s="12">
        <f>VLOOKUP(A15,Dataset!$A$2:$X$40,14,FALSE)</f>
        <v>79.599999999999994</v>
      </c>
      <c r="D15" s="12">
        <f>VLOOKUP(A15,Dataset!$A$2:$X$40,18,FALSE)</f>
        <v>47.9</v>
      </c>
      <c r="E15" s="12">
        <f>VLOOKUP(A15,Dataset!$A$2:$X$40,20,FALSE)</f>
        <v>96.8</v>
      </c>
      <c r="F15" s="8">
        <f>VLOOKUP(A15,Dataset!$A$2:$X$40,22,FALSE)</f>
        <v>47.9</v>
      </c>
    </row>
    <row r="16" spans="1:7" ht="14.4" x14ac:dyDescent="0.3">
      <c r="A16" s="7" t="s">
        <v>20</v>
      </c>
      <c r="B16" s="12">
        <f>VLOOKUP(Task_2!A16,Dataset!$A$2:$X$40,7,FALSE)</f>
        <v>28.5</v>
      </c>
      <c r="C16" s="12">
        <f>VLOOKUP(A16,Dataset!$A$2:$X$40,14,FALSE)</f>
        <v>85.4</v>
      </c>
      <c r="D16" s="12">
        <f>VLOOKUP(A16,Dataset!$A$2:$X$40,18,FALSE)</f>
        <v>52.3</v>
      </c>
      <c r="E16" s="12">
        <f>VLOOKUP(A16,Dataset!$A$2:$X$40,20,FALSE)</f>
        <v>106.1</v>
      </c>
      <c r="F16" s="8">
        <f>VLOOKUP(A16,Dataset!$A$2:$X$40,22,FALSE)</f>
        <v>52.3</v>
      </c>
    </row>
    <row r="17" spans="1:6" ht="14.4" x14ac:dyDescent="0.3">
      <c r="A17" s="7" t="s">
        <v>22</v>
      </c>
      <c r="B17" s="12">
        <f>VLOOKUP(Task_2!A17,Dataset!$A$2:$X$40,7,FALSE)</f>
        <v>30.7</v>
      </c>
      <c r="C17" s="12">
        <f>VLOOKUP(A17,Dataset!$A$2:$X$40,14,FALSE)</f>
        <v>92.1</v>
      </c>
      <c r="D17" s="12">
        <f>VLOOKUP(A17,Dataset!$A$2:$X$40,18,FALSE)</f>
        <v>57</v>
      </c>
      <c r="E17" s="12">
        <f>VLOOKUP(A17,Dataset!$A$2:$X$40,20,FALSE)</f>
        <v>115.1</v>
      </c>
      <c r="F17" s="8">
        <f>VLOOKUP(A17,Dataset!$A$2:$X$40,22,FALSE)</f>
        <v>57</v>
      </c>
    </row>
    <row r="18" spans="1:6" ht="14.4" x14ac:dyDescent="0.3">
      <c r="A18" s="7" t="s">
        <v>23</v>
      </c>
      <c r="B18" s="12">
        <f>VLOOKUP(Task_2!A18,Dataset!$A$2:$X$40,7,FALSE)</f>
        <v>33.799999999999997</v>
      </c>
      <c r="C18" s="12">
        <f>VLOOKUP(A18,Dataset!$A$2:$X$40,14,FALSE)</f>
        <v>101.3</v>
      </c>
      <c r="D18" s="12">
        <f>VLOOKUP(A18,Dataset!$A$2:$X$40,18,FALSE)</f>
        <v>61.4</v>
      </c>
      <c r="E18" s="12">
        <f>VLOOKUP(A18,Dataset!$A$2:$X$40,20,FALSE)</f>
        <v>124.4</v>
      </c>
      <c r="F18" s="8">
        <f>VLOOKUP(A18,Dataset!$A$2:$X$40,22,FALSE)</f>
        <v>61.4</v>
      </c>
    </row>
    <row r="19" spans="1:6" ht="14.4" x14ac:dyDescent="0.3">
      <c r="A19" s="7" t="s">
        <v>24</v>
      </c>
      <c r="B19" s="12">
        <f>VLOOKUP(Task_2!A19,Dataset!$A$2:$X$40,7,FALSE)</f>
        <v>34.700000000000003</v>
      </c>
      <c r="C19" s="12">
        <f>VLOOKUP(A19,Dataset!$A$2:$X$40,14,FALSE)</f>
        <v>106.1</v>
      </c>
      <c r="D19" s="12">
        <f>VLOOKUP(A19,Dataset!$A$2:$X$40,18,FALSE)</f>
        <v>63.6</v>
      </c>
      <c r="E19" s="12">
        <f>VLOOKUP(A19,Dataset!$A$2:$X$40,20,FALSE)</f>
        <v>128.6</v>
      </c>
      <c r="F19" s="8">
        <f>VLOOKUP(A19,Dataset!$A$2:$X$40,22,FALSE)</f>
        <v>63.6</v>
      </c>
    </row>
    <row r="20" spans="1:6" ht="14.4" x14ac:dyDescent="0.3">
      <c r="A20" s="7" t="s">
        <v>28</v>
      </c>
      <c r="B20" s="12">
        <f>VLOOKUP(Task_2!A20,Dataset!$A$2:$X$40,7,FALSE)</f>
        <v>0</v>
      </c>
      <c r="C20" s="12">
        <f>VLOOKUP(A20,Dataset!$A$2:$X$40,14,FALSE)</f>
        <v>0</v>
      </c>
      <c r="D20" s="12">
        <f>VLOOKUP(A20,Dataset!$A$2:$X$40,18,FALSE)</f>
        <v>0</v>
      </c>
      <c r="E20" s="12">
        <f>VLOOKUP(A20,Dataset!$A$2:$X$40,20,FALSE)</f>
        <v>0</v>
      </c>
      <c r="F20" s="8">
        <f>VLOOKUP(A20,Dataset!$A$2:$X$40,22,FALSE)</f>
        <v>0</v>
      </c>
    </row>
    <row r="21" spans="1:6" ht="14.4" x14ac:dyDescent="0.3">
      <c r="A21" s="7" t="s">
        <v>57</v>
      </c>
      <c r="B21" s="12">
        <f>VLOOKUP(Task_2!A21,Dataset!$A$2:$X$40,7,FALSE)</f>
        <v>41.3</v>
      </c>
      <c r="C21" s="12">
        <f>VLOOKUP(A21,Dataset!$A$2:$X$40,14,FALSE)</f>
        <v>124.4</v>
      </c>
      <c r="D21" s="12">
        <f>VLOOKUP(A21,Dataset!$A$2:$X$40,18,FALSE)</f>
        <v>75</v>
      </c>
      <c r="E21" s="12">
        <f>VLOOKUP(A21,Dataset!$A$2:$X$40,20,FALSE)</f>
        <v>151.5</v>
      </c>
      <c r="F21" s="8">
        <f>VLOOKUP(A21,Dataset!$A$2:$X$40,22,FALSE)</f>
        <v>75</v>
      </c>
    </row>
    <row r="22" spans="1:6" ht="14.4" x14ac:dyDescent="0.3">
      <c r="A22" s="7" t="s">
        <v>58</v>
      </c>
      <c r="B22" s="12">
        <f>VLOOKUP(Task_2!A22,Dataset!$A$2:$X$40,7,FALSE)</f>
        <v>-1</v>
      </c>
      <c r="C22" s="12">
        <f>VLOOKUP(A22,Dataset!$A$2:$X$40,14,FALSE)</f>
        <v>-1</v>
      </c>
      <c r="D22" s="12">
        <f>VLOOKUP(A22,Dataset!$A$2:$X$40,18,FALSE)</f>
        <v>-1</v>
      </c>
      <c r="E22" s="12">
        <f>VLOOKUP(A22,Dataset!$A$2:$X$40,20,FALSE)</f>
        <v>-1</v>
      </c>
      <c r="F22" s="8">
        <f>VLOOKUP(A22,Dataset!$A$2:$X$40,22,FALSE)</f>
        <v>-1</v>
      </c>
    </row>
    <row r="23" spans="1:6" ht="14.4" x14ac:dyDescent="0.3">
      <c r="A23" s="7" t="s">
        <v>31</v>
      </c>
      <c r="B23" s="12">
        <f>VLOOKUP(Task_2!A23,Dataset!$A$2:$X$40,7,FALSE)</f>
        <v>45</v>
      </c>
      <c r="C23" s="12">
        <f>VLOOKUP(A23,Dataset!$A$2:$X$40,14,FALSE)</f>
        <v>133.4</v>
      </c>
      <c r="D23" s="12">
        <f>VLOOKUP(A23,Dataset!$A$2:$X$40,18,FALSE)</f>
        <v>79.400000000000006</v>
      </c>
      <c r="E23" s="12">
        <f>VLOOKUP(A23,Dataset!$A$2:$X$40,20,FALSE)</f>
        <v>160.9</v>
      </c>
      <c r="F23" s="8">
        <f>VLOOKUP(A23,Dataset!$A$2:$X$40,22,FALSE)</f>
        <v>79.400000000000006</v>
      </c>
    </row>
    <row r="24" spans="1:6" ht="14.4" x14ac:dyDescent="0.3">
      <c r="A24" s="7" t="s">
        <v>32</v>
      </c>
      <c r="B24" s="12">
        <f>VLOOKUP(Task_2!A24,Dataset!$A$2:$X$40,7,FALSE)</f>
        <v>-1</v>
      </c>
      <c r="C24" s="12">
        <f>VLOOKUP(A24,Dataset!$A$2:$X$40,14,FALSE)</f>
        <v>-1</v>
      </c>
      <c r="D24" s="12">
        <f>VLOOKUP(A24,Dataset!$A$2:$X$40,18,FALSE)</f>
        <v>-1</v>
      </c>
      <c r="E24" s="12">
        <f>VLOOKUP(A24,Dataset!$A$2:$X$40,20,FALSE)</f>
        <v>-1</v>
      </c>
      <c r="F24" s="8">
        <f>VLOOKUP(A24,Dataset!$A$2:$X$40,22,FALSE)</f>
        <v>-1</v>
      </c>
    </row>
    <row r="25" spans="1:6" ht="14.4" x14ac:dyDescent="0.3">
      <c r="A25" s="7" t="s">
        <v>34</v>
      </c>
      <c r="B25" s="12">
        <f>VLOOKUP(Task_2!A25,Dataset!$A$2:$X$40,7,FALSE)</f>
        <v>43.3</v>
      </c>
      <c r="C25" s="12">
        <f>VLOOKUP(A25,Dataset!$A$2:$X$40,14,FALSE)</f>
        <v>128.6</v>
      </c>
      <c r="D25" s="12">
        <f>VLOOKUP(A25,Dataset!$A$2:$X$40,18,FALSE)</f>
        <v>79.400000000000006</v>
      </c>
      <c r="E25" s="12">
        <f>VLOOKUP(A25,Dataset!$A$2:$X$40,20,FALSE)</f>
        <v>160.9</v>
      </c>
      <c r="F25" s="8">
        <f>VLOOKUP(A25,Dataset!$A$2:$X$40,22,FALSE)</f>
        <v>79.400000000000006</v>
      </c>
    </row>
    <row r="26" spans="1:6" ht="14.4" x14ac:dyDescent="0.3">
      <c r="A26" s="7" t="s">
        <v>37</v>
      </c>
      <c r="B26" s="12">
        <f>VLOOKUP(Task_2!A26,Dataset!$A$2:$X$40,7,FALSE)</f>
        <v>49.1</v>
      </c>
      <c r="C26" s="12">
        <f>VLOOKUP(A26,Dataset!$A$2:$X$40,14,FALSE)</f>
        <v>146.80000000000001</v>
      </c>
      <c r="D26" s="12">
        <f>VLOOKUP(A26,Dataset!$A$2:$X$40,18,FALSE)</f>
        <v>90.9</v>
      </c>
      <c r="E26" s="12">
        <f>VLOOKUP(A26,Dataset!$A$2:$X$40,20,FALSE)</f>
        <v>183.5</v>
      </c>
      <c r="F26" s="8">
        <f>VLOOKUP(A26,Dataset!$A$2:$X$40,22,FALSE)</f>
        <v>90.9</v>
      </c>
    </row>
    <row r="27" spans="1:6" ht="14.4" x14ac:dyDescent="0.3">
      <c r="A27" s="7" t="s">
        <v>39</v>
      </c>
      <c r="B27" s="12">
        <f>VLOOKUP(Task_2!A27,Dataset!$A$2:$X$40,7,FALSE)</f>
        <v>51.8</v>
      </c>
      <c r="C27" s="12">
        <f>VLOOKUP(A27,Dataset!$A$2:$X$40,14,FALSE)</f>
        <v>156.4</v>
      </c>
      <c r="D27" s="12">
        <f>VLOOKUP(A27,Dataset!$A$2:$X$40,18,FALSE)</f>
        <v>93.1</v>
      </c>
      <c r="E27" s="12">
        <f>VLOOKUP(A27,Dataset!$A$2:$X$40,20,FALSE)</f>
        <v>188.1</v>
      </c>
      <c r="F27" s="8">
        <f>VLOOKUP(A27,Dataset!$A$2:$X$40,22,FALSE)</f>
        <v>93.1</v>
      </c>
    </row>
    <row r="28" spans="1:6" ht="14.4" x14ac:dyDescent="0.3">
      <c r="A28" s="19" t="s">
        <v>82</v>
      </c>
      <c r="B28" s="43">
        <f>MIN(B6:B27)</f>
        <v>-1</v>
      </c>
      <c r="C28" s="43">
        <f>MIN(C6:C27)</f>
        <v>-1</v>
      </c>
      <c r="D28" s="44">
        <f>MIN(D6:D27)</f>
        <v>-1</v>
      </c>
      <c r="E28" s="44">
        <f>MIN(E6:E27)</f>
        <v>-1</v>
      </c>
      <c r="F28" s="44">
        <f>MIN(F6:F27)</f>
        <v>-1</v>
      </c>
    </row>
    <row r="29" spans="1:6" ht="14.4" x14ac:dyDescent="0.3">
      <c r="A29" s="19" t="s">
        <v>83</v>
      </c>
      <c r="B29" s="43">
        <f>MAX(B6:B27)</f>
        <v>51.8</v>
      </c>
      <c r="C29" s="43">
        <f>MAX(C6:C27)</f>
        <v>156.4</v>
      </c>
      <c r="D29" s="44">
        <f>MAX(D6:D27)</f>
        <v>93.1</v>
      </c>
      <c r="E29" s="44">
        <f>MAX(E6:E27)</f>
        <v>188.1</v>
      </c>
      <c r="F29" s="44">
        <f>MAX(F6:F27)</f>
        <v>93.1</v>
      </c>
    </row>
    <row r="30" spans="1:6" ht="14.4" x14ac:dyDescent="0.3">
      <c r="A30" s="19" t="s">
        <v>84</v>
      </c>
      <c r="B30" s="43">
        <f>AVERAGE(B6:B27)</f>
        <v>20.827272727272728</v>
      </c>
      <c r="C30" s="44">
        <f>AVERAGE(C6:C27)</f>
        <v>62.377272727272725</v>
      </c>
      <c r="D30" s="44">
        <f>AVERAGE(D6:D27)</f>
        <v>37.800000000000004</v>
      </c>
      <c r="E30" s="44">
        <f>AVERAGE(E6:E27)</f>
        <v>76.418181818181822</v>
      </c>
      <c r="F30" s="44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7" sqref="F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48" t="s">
        <v>178</v>
      </c>
      <c r="C5" s="49"/>
      <c r="D5" s="49"/>
      <c r="E5" s="49"/>
    </row>
    <row r="6" spans="1:10" ht="18" x14ac:dyDescent="0.35">
      <c r="A6" s="42" t="s">
        <v>152</v>
      </c>
      <c r="B6" s="48" t="s">
        <v>179</v>
      </c>
      <c r="C6" s="49"/>
      <c r="D6" s="49"/>
      <c r="E6" s="49"/>
      <c r="F6" s="49"/>
      <c r="G6" s="49"/>
      <c r="H6" s="49"/>
      <c r="I6" s="49"/>
      <c r="J6" s="49"/>
    </row>
    <row r="7" spans="1:10" ht="18" x14ac:dyDescent="0.35">
      <c r="A7" s="42"/>
      <c r="B7" s="39"/>
    </row>
    <row r="9" spans="1:10" ht="23.4" x14ac:dyDescent="0.45">
      <c r="A9" s="18" t="s">
        <v>164</v>
      </c>
      <c r="I9" s="2"/>
      <c r="J9" s="2"/>
    </row>
    <row r="10" spans="1:10" x14ac:dyDescent="0.3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G22"/>
  <sheetViews>
    <sheetView zoomScaleNormal="100" workbookViewId="0">
      <selection activeCell="D8" sqref="D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7" ht="21" x14ac:dyDescent="0.4">
      <c r="A1" s="41" t="s">
        <v>85</v>
      </c>
      <c r="B1" s="40" t="s">
        <v>166</v>
      </c>
    </row>
    <row r="2" spans="1:7" ht="18" x14ac:dyDescent="0.35">
      <c r="B2" s="39" t="s">
        <v>165</v>
      </c>
    </row>
    <row r="5" spans="1:7" ht="14.4" x14ac:dyDescent="0.3">
      <c r="B5" s="1" t="s">
        <v>150</v>
      </c>
    </row>
    <row r="6" spans="1:7" ht="14.4" x14ac:dyDescent="0.3">
      <c r="A6" s="3" t="s">
        <v>53</v>
      </c>
      <c r="B6" s="50" t="s">
        <v>180</v>
      </c>
      <c r="C6" s="51"/>
      <c r="D6" s="51"/>
      <c r="E6" s="51"/>
      <c r="F6" s="51"/>
      <c r="G6" s="51"/>
    </row>
    <row r="7" spans="1:7" ht="14.4" x14ac:dyDescent="0.3">
      <c r="A7" s="3" t="s">
        <v>152</v>
      </c>
      <c r="B7" s="50" t="s">
        <v>181</v>
      </c>
      <c r="C7" s="51"/>
      <c r="D7" s="51"/>
      <c r="E7" s="51"/>
      <c r="F7" s="51"/>
      <c r="G7" s="51"/>
    </row>
    <row r="8" spans="1:7" x14ac:dyDescent="0.3">
      <c r="B8" s="51" t="s">
        <v>182</v>
      </c>
      <c r="C8" s="51"/>
      <c r="D8" s="51"/>
      <c r="E8" s="51"/>
      <c r="F8" s="51"/>
      <c r="G8" s="51"/>
    </row>
    <row r="10" spans="1:7" ht="23.4" x14ac:dyDescent="0.45">
      <c r="A10" s="18" t="s">
        <v>161</v>
      </c>
    </row>
    <row r="11" spans="1:7" ht="14.4" x14ac:dyDescent="0.3">
      <c r="A11" s="31" t="s">
        <v>86</v>
      </c>
      <c r="B11" s="17" t="s">
        <v>87</v>
      </c>
      <c r="C11" s="17" t="s">
        <v>88</v>
      </c>
    </row>
    <row r="12" spans="1:7" ht="14.4" x14ac:dyDescent="0.3">
      <c r="A12" s="31">
        <v>44927</v>
      </c>
      <c r="B12" s="17" t="s">
        <v>59</v>
      </c>
      <c r="C12" s="17">
        <v>200</v>
      </c>
    </row>
    <row r="13" spans="1:7" ht="14.4" x14ac:dyDescent="0.3">
      <c r="A13" s="31">
        <v>44928</v>
      </c>
      <c r="B13" s="17" t="s">
        <v>60</v>
      </c>
      <c r="C13" s="17" cm="1">
        <f t="array" ref="C13">IFERROR(Sales, 20)</f>
        <v>20</v>
      </c>
    </row>
    <row r="14" spans="1:7" ht="14.4" x14ac:dyDescent="0.3">
      <c r="A14" s="31">
        <v>44929</v>
      </c>
      <c r="B14" s="17" t="s">
        <v>61</v>
      </c>
      <c r="C14" s="17">
        <v>50</v>
      </c>
    </row>
    <row r="15" spans="1:7" ht="14.4" x14ac:dyDescent="0.3">
      <c r="A15" s="31">
        <v>44930</v>
      </c>
      <c r="B15" s="17" t="s">
        <v>62</v>
      </c>
      <c r="C15" s="17" cm="1">
        <f t="array" ref="C15">IFERROR(Sales, 20)</f>
        <v>20</v>
      </c>
    </row>
    <row r="16" spans="1:7" ht="14.4" x14ac:dyDescent="0.3">
      <c r="A16" s="31">
        <v>44931</v>
      </c>
      <c r="B16" s="17" t="s">
        <v>63</v>
      </c>
      <c r="C16" s="17">
        <v>10</v>
      </c>
    </row>
    <row r="17" spans="1:3" ht="14.4" x14ac:dyDescent="0.3">
      <c r="A17" s="31">
        <v>44932</v>
      </c>
      <c r="B17" s="17" t="s">
        <v>153</v>
      </c>
      <c r="C17" s="17">
        <v>150</v>
      </c>
    </row>
    <row r="18" spans="1:3" ht="14.4" x14ac:dyDescent="0.3">
      <c r="A18" s="31">
        <v>44933</v>
      </c>
      <c r="B18" s="17" t="s">
        <v>154</v>
      </c>
      <c r="C18" s="17">
        <v>80</v>
      </c>
    </row>
    <row r="19" spans="1:3" ht="14.4" x14ac:dyDescent="0.3">
      <c r="A19" s="31">
        <v>44934</v>
      </c>
      <c r="B19" s="17" t="s">
        <v>155</v>
      </c>
      <c r="C19" s="17" cm="1">
        <f t="array" ref="C19">IFERROR(Sales, 20)</f>
        <v>20</v>
      </c>
    </row>
    <row r="20" spans="1:3" ht="14.4" x14ac:dyDescent="0.3">
      <c r="A20" s="31">
        <v>44935</v>
      </c>
      <c r="B20" s="17" t="s">
        <v>156</v>
      </c>
      <c r="C20" s="17">
        <v>30</v>
      </c>
    </row>
    <row r="21" spans="1:3" ht="14.4" x14ac:dyDescent="0.3">
      <c r="A21" s="31">
        <v>44936</v>
      </c>
      <c r="B21" s="17" t="s">
        <v>157</v>
      </c>
      <c r="C21" s="17" cm="1">
        <f t="array" ref="C21">IFERROR(Sales, 20)</f>
        <v>20</v>
      </c>
    </row>
    <row r="22" spans="1:3" ht="14.4" x14ac:dyDescent="0.3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36" sqref="C3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18" x14ac:dyDescent="0.35">
      <c r="A4" s="42" t="s">
        <v>53</v>
      </c>
      <c r="B4" s="1"/>
      <c r="C4" s="2" t="s">
        <v>183</v>
      </c>
    </row>
    <row r="5" spans="1:14" ht="18" x14ac:dyDescent="0.35">
      <c r="A5" s="42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52">
        <f>INDEX($B$10:$J$18,
MATCH(VLOOKUP(A23,$M$10:$N$18,2,FALSE),$A$10:$A$18,0),
MATCH(VLOOKUP(B23,$M$10:$N$18,2,FALSE),$B$9:$J$9,0))</f>
        <v>95</v>
      </c>
    </row>
    <row r="24" spans="1:14" ht="14.4" x14ac:dyDescent="0.3">
      <c r="A24" s="7">
        <v>10100</v>
      </c>
      <c r="B24" s="12">
        <v>10104</v>
      </c>
      <c r="C24" s="52">
        <f>INDEX($B$10:$J$18,
MATCH(VLOOKUP(A24,$M$10:$N$18,2,FALSE),$A$10:$A$18,0),
MATCH(VLOOKUP(B24,$M$10:$N$18,2,FALSE),$B$9:$J$9,0))</f>
        <v>-1</v>
      </c>
    </row>
    <row r="25" spans="1:14" ht="14.4" x14ac:dyDescent="0.3">
      <c r="A25" s="7">
        <v>10108</v>
      </c>
      <c r="B25" s="12">
        <v>10102</v>
      </c>
      <c r="C25" s="52">
        <f>INDEX($B$10:$J$18,
MATCH(VLOOKUP(A25,$M$10:$N$18,2,FALSE),$A$10:$A$18,0),
MATCH(VLOOKUP(B25,$M$10:$N$18,2,FALSE),$B$9:$J$9,0))</f>
        <v>160</v>
      </c>
    </row>
    <row r="26" spans="1:14" ht="14.4" x14ac:dyDescent="0.3">
      <c r="A26" s="7">
        <v>10100</v>
      </c>
      <c r="B26" s="12">
        <v>10106</v>
      </c>
      <c r="C26" s="52">
        <f>INDEX($B$10:$J$18,
MATCH(VLOOKUP(A26,$M$10:$N$18,2,FALSE),$A$10:$A$18,0),
MATCH(VLOOKUP(B26,$M$10:$N$18,2,FALSE),$B$9:$J$9,0))</f>
        <v>185</v>
      </c>
    </row>
    <row r="27" spans="1:14" ht="14.4" x14ac:dyDescent="0.3">
      <c r="A27" s="7">
        <v>10108</v>
      </c>
      <c r="B27" s="12">
        <v>10110</v>
      </c>
      <c r="C27" s="52">
        <f>INDEX($B$10:$J$18,
MATCH(VLOOKUP(A27,$M$10:$N$18,2,FALSE),$A$10:$A$18,0),
MATCH(VLOOKUP(B27,$M$10:$N$18,2,FALSE),$B$9:$J$9,0))</f>
        <v>50</v>
      </c>
    </row>
    <row r="28" spans="1:14" ht="14.4" x14ac:dyDescent="0.3">
      <c r="A28" s="7">
        <v>10102</v>
      </c>
      <c r="B28" s="12">
        <v>10104</v>
      </c>
      <c r="C28" s="52">
        <f>INDEX($B$10:$J$18,
MATCH(VLOOKUP(A28,$M$10:$N$18,2,FALSE),$A$10:$A$18,0),
MATCH(VLOOKUP(B28,$M$10:$N$18,2,FALSE),$B$9:$J$9,0))</f>
        <v>-1</v>
      </c>
    </row>
    <row r="29" spans="1:14" ht="14.4" x14ac:dyDescent="0.3">
      <c r="A29" s="7">
        <v>10106</v>
      </c>
      <c r="B29" s="12">
        <v>10108</v>
      </c>
      <c r="C29" s="52">
        <f>INDEX($B$10:$J$18,
MATCH(VLOOKUP(A29,$M$10:$N$18,2,FALSE),$A$10:$A$18,0),
MATCH(VLOOKUP(B29,$M$10:$N$18,2,FALSE),$B$9:$J$9,0))</f>
        <v>70</v>
      </c>
    </row>
    <row r="30" spans="1:14" ht="14.4" x14ac:dyDescent="0.3">
      <c r="A30" s="7">
        <v>10102</v>
      </c>
      <c r="B30" s="12">
        <v>10106</v>
      </c>
      <c r="C30" s="52">
        <f>INDEX($B$10:$J$18,
MATCH(VLOOKUP(A30,$M$10:$N$18,2,FALSE),$A$10:$A$18,0),
MATCH(VLOOKUP(B30,$M$10:$N$18,2,FALSE),$B$9:$J$9,0))</f>
        <v>90</v>
      </c>
    </row>
    <row r="31" spans="1:14" ht="14.4" x14ac:dyDescent="0.3">
      <c r="A31" s="7">
        <v>10110</v>
      </c>
      <c r="B31" s="12">
        <v>10114</v>
      </c>
      <c r="C31" s="52">
        <f>INDEX($B$10:$J$18,
MATCH(VLOOKUP(A31,$M$10:$N$18,2,FALSE),$A$10:$A$18,0),
MATCH(VLOOKUP(B31,$M$10:$N$18,2,FALSE),$B$9:$J$9,0))</f>
        <v>180</v>
      </c>
    </row>
    <row r="32" spans="1:14" ht="14.4" x14ac:dyDescent="0.3">
      <c r="A32" s="7">
        <v>10104</v>
      </c>
      <c r="B32" s="12">
        <v>10106</v>
      </c>
      <c r="C32" s="52">
        <f>INDEX($B$10:$J$18,
MATCH(VLOOKUP(A32,$M$10:$N$18,2,FALSE),$A$10:$A$18,0),
MATCH(VLOOKUP(B32,$M$10:$N$18,2,FALSE),$B$9:$J$9,0))</f>
        <v>60</v>
      </c>
    </row>
    <row r="33" spans="1:3" ht="14.4" x14ac:dyDescent="0.3">
      <c r="A33" s="7">
        <v>10110</v>
      </c>
      <c r="B33" s="12">
        <v>10112</v>
      </c>
      <c r="C33" s="52">
        <f>INDEX($B$10:$J$18,
MATCH(VLOOKUP(A33,$M$10:$N$18,2,FALSE),$A$10:$A$18,0),
MATCH(VLOOKUP(B33,$M$10:$N$18,2,FALSE),$B$9:$J$9,0))</f>
        <v>115</v>
      </c>
    </row>
    <row r="34" spans="1:3" ht="14.4" x14ac:dyDescent="0.3">
      <c r="A34" s="7">
        <v>10100</v>
      </c>
      <c r="B34" s="12">
        <v>10114</v>
      </c>
      <c r="C34" s="52">
        <f>INDEX($B$10:$J$18,
MATCH(VLOOKUP(A34,$M$10:$N$18,2,FALSE),$A$10:$A$18,0),
MATCH(VLOOKUP(B34,$M$10:$N$18,2,FALSE),$B$9:$J$9,0))</f>
        <v>480</v>
      </c>
    </row>
    <row r="35" spans="1:3" ht="14.4" x14ac:dyDescent="0.3">
      <c r="A35" s="9">
        <v>10112</v>
      </c>
      <c r="B35" s="13">
        <v>10116</v>
      </c>
      <c r="C35" s="52">
        <f>INDEX($B$10:$J$18,
MATCH(VLOOKUP(A35,$M$10:$N$18,2,FALSE),$A$10:$A$18,0),
MATCH(VLOOKUP(B35,$M$10:$N$18,2,FALSE),$B$9:$J$9,0))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vk10101997kv@gmail.com</cp:lastModifiedBy>
  <dcterms:created xsi:type="dcterms:W3CDTF">2015-02-10T17:33:11Z</dcterms:created>
  <dcterms:modified xsi:type="dcterms:W3CDTF">2024-10-24T16:12:11Z</dcterms:modified>
</cp:coreProperties>
</file>